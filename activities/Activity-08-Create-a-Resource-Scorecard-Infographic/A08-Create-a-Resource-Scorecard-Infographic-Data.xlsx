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Options" sheetId="2" state="visible" r:id="rId2"/>
    <sheet xmlns:r="http://schemas.openxmlformats.org/officeDocument/2006/relationships" name="Scorecard" sheetId="3" state="visible" r:id="rId3"/>
    <sheet xmlns:r="http://schemas.openxmlformats.org/officeDocument/2006/relationships" name="Recommendation" sheetId="4" state="visible" r:id="rId4"/>
    <sheet xmlns:r="http://schemas.openxmlformats.org/officeDocument/2006/relationships" name="Source Notes" sheetId="5" state="visible" r:id="rId5"/>
    <sheet xmlns:r="http://schemas.openxmlformats.org/officeDocument/2006/relationships" name="AI Prompt Lab" sheetId="6" state="visible" r:id="rId6"/>
  </sheets>
  <definedNames>
    <definedName name="_xlnm._FilterDatabase" localSheetId="1" hidden="1">'Options'!$A$1:$G$5</definedName>
  </definedNames>
  <calcPr calcId="124519" calcMode="auto" fullCalcOnLoad="1" forceFullCalc="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color rgb="00000000"/>
    </font>
    <font>
      <name val="Arial"/>
      <color rgb="000000FF"/>
    </font>
    <font>
      <name val="Arial"/>
    </font>
  </fonts>
  <fills count="5">
    <fill>
      <patternFill/>
    </fill>
    <fill>
      <patternFill patternType="gray125"/>
    </fill>
    <fill>
      <patternFill patternType="solid">
        <fgColor rgb="001F6FEB"/>
      </patternFill>
    </fill>
    <fill>
      <patternFill patternType="solid">
        <fgColor rgb="00FFF2CC"/>
      </patternFill>
    </fill>
    <fill>
      <patternFill patternType="solid">
        <fgColor rgb="007C3AED"/>
      </patternFill>
    </fill>
  </fills>
  <borders count="2">
    <border>
      <left/>
      <right/>
      <top/>
      <bottom/>
      <diagonal/>
    </border>
    <border>
      <bottom style="thin">
        <color rgb="00D9E2F3"/>
      </bottom>
    </border>
  </borders>
  <cellStyleXfs count="1">
    <xf numFmtId="0" fontId="0" fillId="0" borderId="0"/>
  </cellStyleXfs>
  <cellXfs count="8">
    <xf numFmtId="0" fontId="0" fillId="0" borderId="0" pivotButton="0" quotePrefix="0" xfId="0"/>
    <xf numFmtId="0" fontId="1" fillId="2" borderId="0" pivotButton="0" quotePrefix="0" xfId="0"/>
    <xf numFmtId="0" fontId="1" fillId="2" borderId="0" applyAlignment="1" pivotButton="0" quotePrefix="0" xfId="0">
      <alignment horizontal="center" wrapText="1"/>
    </xf>
    <xf numFmtId="0" fontId="2" fillId="0" borderId="1" pivotButton="0" quotePrefix="0" xfId="0"/>
    <xf numFmtId="0" fontId="3" fillId="0" borderId="1" pivotButton="0" quotePrefix="0" xfId="0"/>
    <xf numFmtId="0" fontId="0" fillId="3" borderId="0" pivotButton="0" quotePrefix="0" xfId="0"/>
    <xf numFmtId="0" fontId="1" fillId="4" borderId="0"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0" customWidth="1" min="1" max="1"/>
    <col width="16" customWidth="1" min="2" max="2"/>
    <col width="16" customWidth="1" min="3" max="3"/>
    <col width="45" customWidth="1" min="4" max="4"/>
  </cols>
  <sheetData>
    <row r="1">
      <c r="A1" s="1" t="inlineStr">
        <is>
          <t>Assumption</t>
        </is>
      </c>
      <c r="B1" s="1" t="inlineStr">
        <is>
          <t>Value</t>
        </is>
      </c>
      <c r="C1" s="1" t="inlineStr">
        <is>
          <t>Unit</t>
        </is>
      </c>
      <c r="D1" s="1" t="inlineStr">
        <is>
          <t>Rationale / source</t>
        </is>
      </c>
    </row>
    <row r="2">
      <c r="A2" t="inlineStr">
        <is>
          <t>Users</t>
        </is>
      </c>
      <c r="B2" t="n">
        <v>12</v>
      </c>
      <c r="C2" t="inlineStr">
        <is>
          <t>people</t>
        </is>
      </c>
      <c r="D2" t="inlineStr">
        <is>
          <t>Northstar training scenario</t>
        </is>
      </c>
    </row>
    <row r="3">
      <c r="A3" t="inlineStr">
        <is>
          <t>Loaded labour rate</t>
        </is>
      </c>
      <c r="B3" t="n">
        <v>65</v>
      </c>
      <c r="C3" t="inlineStr">
        <is>
          <t>SGD/hour</t>
        </is>
      </c>
      <c r="D3" t="inlineStr">
        <is>
          <t>Synthetic planning assumption</t>
        </is>
      </c>
    </row>
    <row r="4">
      <c r="A4" t="inlineStr">
        <is>
          <t>Annual infographic volume</t>
        </is>
      </c>
      <c r="B4" t="n">
        <v>96</v>
      </c>
      <c r="C4" t="inlineStr">
        <is>
          <t>outputs</t>
        </is>
      </c>
      <c r="D4" t="inlineStr">
        <is>
          <t>Eight outputs per month</t>
        </is>
      </c>
    </row>
    <row r="5">
      <c r="A5" t="inlineStr">
        <is>
          <t>Contingency</t>
        </is>
      </c>
      <c r="B5" t="n">
        <v>0.1</v>
      </c>
      <c r="C5" t="inlineStr">
        <is>
          <t>share</t>
        </is>
      </c>
      <c r="D5" t="inlineStr">
        <is>
          <t>Applied to base 12-month cost</t>
        </is>
      </c>
    </row>
    <row r="6">
      <c r="A6" t="inlineStr">
        <is>
          <t>Minimum governance score</t>
        </is>
      </c>
      <c r="B6" t="n">
        <v>4</v>
      </c>
      <c r="C6" t="inlineStr">
        <is>
          <t>1-5</t>
        </is>
      </c>
      <c r="D6" t="inlineStr">
        <is>
          <t>Hard gate</t>
        </is>
      </c>
    </row>
    <row r="7">
      <c r="A7" t="inlineStr">
        <is>
          <t>Minimum effectiveness score</t>
        </is>
      </c>
      <c r="B7" t="n">
        <v>4</v>
      </c>
      <c r="C7" t="inlineStr">
        <is>
          <t>1-5</t>
        </is>
      </c>
      <c r="D7" t="inlineStr">
        <is>
          <t>Hard 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6" customWidth="1" min="3" max="3"/>
    <col width="20" customWidth="1" min="4" max="4"/>
    <col width="16" customWidth="1" min="5" max="5"/>
    <col width="20" customWidth="1" min="6" max="6"/>
    <col width="23"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s>
  <sheetData>
    <row r="1">
      <c r="A1" s="2" t="inlineStr">
        <is>
          <t>Option</t>
        </is>
      </c>
      <c r="B1" s="2" t="inlineStr">
        <is>
          <t>AnnualLicenceSGD</t>
        </is>
      </c>
      <c r="C1" s="2" t="inlineStr">
        <is>
          <t>TrainingSGD</t>
        </is>
      </c>
      <c r="D1" s="2" t="inlineStr">
        <is>
          <t>ProductionHours</t>
        </is>
      </c>
      <c r="E1" s="2" t="inlineStr">
        <is>
          <t>ReviewHours</t>
        </is>
      </c>
      <c r="F1" s="2" t="inlineStr">
        <is>
          <t>GovernanceScore</t>
        </is>
      </c>
      <c r="G1" s="2" t="inlineStr">
        <is>
          <t>EffectivenessScore</t>
        </is>
      </c>
      <c r="H1" s="2" t="inlineStr">
        <is>
          <t>MaintenanceSGD</t>
        </is>
      </c>
      <c r="I1" s="2" t="inlineStr">
        <is>
          <t>DataHandlingGate</t>
        </is>
      </c>
      <c r="J1" s="2" t="inlineStr">
        <is>
          <t>RightsGate</t>
        </is>
      </c>
      <c r="K1" s="2" t="inlineStr">
        <is>
          <t>EditabilityGate</t>
        </is>
      </c>
      <c r="L1" s="2" t="inlineStr">
        <is>
          <t>AccessibilityGate</t>
        </is>
      </c>
      <c r="M1" s="2" t="inlineStr">
        <is>
          <t>Eligibility</t>
        </is>
      </c>
      <c r="N1" s="2" t="inlineStr">
        <is>
          <t>Base12MonthCostSGD</t>
        </is>
      </c>
      <c r="O1" s="2" t="inlineStr">
        <is>
          <t>CostWithContingencySGD</t>
        </is>
      </c>
    </row>
    <row r="2">
      <c r="A2" s="3" t="inlineStr">
        <is>
          <t>PowerPoint templates</t>
        </is>
      </c>
      <c r="B2" s="4" t="n">
        <v>0</v>
      </c>
      <c r="C2" s="4" t="n">
        <v>4800</v>
      </c>
      <c r="D2" s="4" t="n">
        <v>420</v>
      </c>
      <c r="E2" s="4" t="n">
        <v>120</v>
      </c>
      <c r="F2" s="4" t="n">
        <v>5</v>
      </c>
      <c r="G2" s="4" t="n">
        <v>3</v>
      </c>
      <c r="H2" t="n">
        <v>1200</v>
      </c>
      <c r="I2" t="inlineStr">
        <is>
          <t>PASS</t>
        </is>
      </c>
      <c r="J2" t="inlineStr">
        <is>
          <t>PASS</t>
        </is>
      </c>
      <c r="K2" t="inlineStr">
        <is>
          <t>PASS</t>
        </is>
      </c>
      <c r="L2" t="inlineStr">
        <is>
          <t>PASS</t>
        </is>
      </c>
      <c r="M2">
        <f>IF(AND(F2&gt;=Assumptions!$B$6,G2&gt;=Assumptions!$B$7,I2="PASS",J2="PASS",K2="PASS",L2="PASS"),"Eligible","Not eligible")</f>
        <v/>
      </c>
      <c r="N2">
        <f>B2+C2+H2+(D2+E2)*Assumptions!$B$3</f>
        <v/>
      </c>
      <c r="O2">
        <f>N2*(1+Assumptions!$B$5)</f>
        <v/>
      </c>
    </row>
    <row r="3">
      <c r="A3" s="3" t="inlineStr">
        <is>
          <t>PowerPoint + Copilot</t>
        </is>
      </c>
      <c r="B3" s="4" t="n">
        <v>7200</v>
      </c>
      <c r="C3" s="4" t="n">
        <v>7200</v>
      </c>
      <c r="D3" s="4" t="n">
        <v>300</v>
      </c>
      <c r="E3" s="4" t="n">
        <v>150</v>
      </c>
      <c r="F3" s="4" t="n">
        <v>4</v>
      </c>
      <c r="G3" s="4" t="n">
        <v>5</v>
      </c>
      <c r="H3" t="n">
        <v>2400</v>
      </c>
      <c r="I3" t="inlineStr">
        <is>
          <t>PASS</t>
        </is>
      </c>
      <c r="J3" t="inlineStr">
        <is>
          <t>PASS</t>
        </is>
      </c>
      <c r="K3" t="inlineStr">
        <is>
          <t>PASS</t>
        </is>
      </c>
      <c r="L3" t="inlineStr">
        <is>
          <t>PASS</t>
        </is>
      </c>
      <c r="M3">
        <f>IF(AND(F3&gt;=Assumptions!$B$6,G3&gt;=Assumptions!$B$7,I3="PASS",J3="PASS",K3="PASS",L3="PASS"),"Eligible","Not eligible")</f>
        <v/>
      </c>
      <c r="N3">
        <f>B3+C3+H3+(D3+E3)*Assumptions!$B$3</f>
        <v/>
      </c>
      <c r="O3">
        <f>N3*(1+Assumptions!$B$5)</f>
        <v/>
      </c>
    </row>
    <row r="4">
      <c r="A4" s="3" t="inlineStr">
        <is>
          <t>Copilot-first governed workflow</t>
        </is>
      </c>
      <c r="B4" s="4" t="n">
        <v>8400</v>
      </c>
      <c r="C4" s="4" t="n">
        <v>7200</v>
      </c>
      <c r="D4" s="4" t="n">
        <v>285</v>
      </c>
      <c r="E4" s="4" t="n">
        <v>165</v>
      </c>
      <c r="F4" s="4" t="n">
        <v>5</v>
      </c>
      <c r="G4" s="4" t="n">
        <v>5</v>
      </c>
      <c r="H4" t="n">
        <v>1800</v>
      </c>
      <c r="I4" t="inlineStr">
        <is>
          <t>PASS</t>
        </is>
      </c>
      <c r="J4" t="inlineStr">
        <is>
          <t>PASS</t>
        </is>
      </c>
      <c r="K4" t="inlineStr">
        <is>
          <t>PASS</t>
        </is>
      </c>
      <c r="L4" t="inlineStr">
        <is>
          <t>PASS</t>
        </is>
      </c>
      <c r="M4">
        <f>IF(AND(F4&gt;=Assumptions!$B$6,G4&gt;=Assumptions!$B$7,I4="PASS",J4="PASS",K4="PASS",L4="PASS"),"Eligible","Not eligible")</f>
        <v/>
      </c>
      <c r="N4">
        <f>B4+C4+H4+(D4+E4)*Assumptions!$B$3</f>
        <v/>
      </c>
      <c r="O4">
        <f>N4*(1+Assumptions!$B$5)</f>
        <v/>
      </c>
    </row>
    <row r="5">
      <c r="A5" s="3" t="inlineStr">
        <is>
          <t>Mixed approved tools + PowerPoint</t>
        </is>
      </c>
      <c r="B5" s="4" t="n">
        <v>10800</v>
      </c>
      <c r="C5" s="4" t="n">
        <v>9600</v>
      </c>
      <c r="D5" s="4" t="n">
        <v>270</v>
      </c>
      <c r="E5" s="4" t="n">
        <v>210</v>
      </c>
      <c r="F5" s="4" t="n">
        <v>3</v>
      </c>
      <c r="G5" s="4" t="n">
        <v>4</v>
      </c>
      <c r="H5" t="n">
        <v>3000</v>
      </c>
      <c r="I5" t="inlineStr">
        <is>
          <t>PASS</t>
        </is>
      </c>
      <c r="J5" t="inlineStr">
        <is>
          <t>PASS</t>
        </is>
      </c>
      <c r="K5" t="inlineStr">
        <is>
          <t>PASS</t>
        </is>
      </c>
      <c r="L5" t="inlineStr">
        <is>
          <t>PASS</t>
        </is>
      </c>
      <c r="M5">
        <f>IF(AND(F5&gt;=Assumptions!$B$6,G5&gt;=Assumptions!$B$7,I5="PASS",J5="PASS",K5="PASS",L5="PASS"),"Eligible","Not eligible")</f>
        <v/>
      </c>
      <c r="N5">
        <f>B5+C5+H5+(D5+E5)*Assumptions!$B$3</f>
        <v/>
      </c>
      <c r="O5">
        <f>N5*(1+Assumptions!$B$5)</f>
        <v/>
      </c>
    </row>
  </sheetData>
  <autoFilter ref="A1:G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8" customWidth="1" min="1" max="1"/>
    <col width="14" customWidth="1" min="2" max="2"/>
    <col width="24" customWidth="1" min="3" max="3"/>
    <col width="24" customWidth="1" min="4" max="4"/>
    <col width="24" customWidth="1" min="5" max="5"/>
    <col width="24" customWidth="1" min="6" max="6"/>
  </cols>
  <sheetData>
    <row r="1">
      <c r="A1" s="2" t="inlineStr">
        <is>
          <t>Criterion</t>
        </is>
      </c>
      <c r="B1" s="2" t="inlineStr">
        <is>
          <t>WeightPct</t>
        </is>
      </c>
      <c r="C1" s="2" t="inlineStr">
        <is>
          <t>PowerPoint templates</t>
        </is>
      </c>
      <c r="D1" s="2" t="inlineStr">
        <is>
          <t>PowerPoint + Copilot</t>
        </is>
      </c>
      <c r="E1" s="2" t="inlineStr">
        <is>
          <t>Copilot-first governed workflow</t>
        </is>
      </c>
      <c r="F1" s="2" t="inlineStr">
        <is>
          <t>Mixed approved tools + PowerPoint</t>
        </is>
      </c>
    </row>
    <row r="2">
      <c r="A2" t="inlineStr">
        <is>
          <t>Effectiveness</t>
        </is>
      </c>
      <c r="B2" t="n">
        <v>25</v>
      </c>
      <c r="C2" t="n">
        <v>3</v>
      </c>
      <c r="D2" t="n">
        <v>5</v>
      </c>
      <c r="E2" t="n">
        <v>4</v>
      </c>
      <c r="F2" t="n">
        <v>4</v>
      </c>
    </row>
    <row r="3">
      <c r="A3" t="inlineStr">
        <is>
          <t>Governance</t>
        </is>
      </c>
      <c r="B3" t="n">
        <v>25</v>
      </c>
      <c r="C3" t="n">
        <v>5</v>
      </c>
      <c r="D3" t="n">
        <v>4</v>
      </c>
      <c r="E3" t="n">
        <v>4</v>
      </c>
      <c r="F3" t="n">
        <v>3</v>
      </c>
    </row>
    <row r="4">
      <c r="A4" t="inlineStr">
        <is>
          <t>Source grounding</t>
        </is>
      </c>
      <c r="B4" t="n">
        <v>15</v>
      </c>
      <c r="C4" t="n">
        <v>3</v>
      </c>
      <c r="D4" t="n">
        <v>4</v>
      </c>
      <c r="E4" t="n">
        <v>5</v>
      </c>
      <c r="F4" t="n">
        <v>4</v>
      </c>
    </row>
    <row r="5">
      <c r="A5" t="inlineStr">
        <is>
          <t>Editability</t>
        </is>
      </c>
      <c r="B5" t="n">
        <v>15</v>
      </c>
      <c r="C5" t="n">
        <v>5</v>
      </c>
      <c r="D5" t="n">
        <v>5</v>
      </c>
      <c r="E5" t="n">
        <v>3</v>
      </c>
      <c r="F5" t="n">
        <v>4</v>
      </c>
    </row>
    <row r="6">
      <c r="A6" t="inlineStr">
        <is>
          <t>Accessibility</t>
        </is>
      </c>
      <c r="B6" t="n">
        <v>10</v>
      </c>
      <c r="C6" t="n">
        <v>5</v>
      </c>
      <c r="D6" t="n">
        <v>4</v>
      </c>
      <c r="E6" t="n">
        <v>4</v>
      </c>
      <c r="F6" t="n">
        <v>4</v>
      </c>
    </row>
    <row r="7">
      <c r="A7" t="inlineStr">
        <is>
          <t>Continuity</t>
        </is>
      </c>
      <c r="B7" t="n">
        <v>10</v>
      </c>
      <c r="C7" t="n">
        <v>5</v>
      </c>
      <c r="D7" t="n">
        <v>4</v>
      </c>
      <c r="E7" t="n">
        <v>4</v>
      </c>
      <c r="F7" t="n">
        <v>3</v>
      </c>
    </row>
    <row r="8">
      <c r="A8" t="inlineStr">
        <is>
          <t>Weighted total</t>
        </is>
      </c>
      <c r="B8" t="inlineStr"/>
      <c r="C8">
        <f>IFERROR(SUMPRODUCT($B$2:$B$7,C$2:C$7)/SUM($B$2:$B$7),0)</f>
        <v/>
      </c>
      <c r="D8">
        <f>IFERROR(SUMPRODUCT($B$2:$B$7,D$2:D$7)/SUM($B$2:$B$7),0)</f>
        <v/>
      </c>
      <c r="E8">
        <f>IFERROR(SUMPRODUCT($B$2:$B$7,E$2:E$7)/SUM($B$2:$B$7),0)</f>
        <v/>
      </c>
      <c r="F8">
        <f>IFERROR(SUMPRODUCT($B$2:$B$7,F$2:F$7)/SUM($B$2:$B$7),0)</f>
        <v/>
      </c>
    </row>
    <row r="9">
      <c r="A9" t="inlineStr">
        <is>
          <t>Eligibility</t>
        </is>
      </c>
      <c r="B9" t="inlineStr"/>
      <c r="C9">
        <f>INDEX(Options!$M$2:$M$5,MATCH(C$1,Options!$A$2:$A$5,0))</f>
        <v/>
      </c>
      <c r="D9">
        <f>INDEX(Options!$M$2:$M$5,MATCH(D$1,Options!$A$2:$A$5,0))</f>
        <v/>
      </c>
      <c r="E9">
        <f>INDEX(Options!$M$2:$M$5,MATCH(E$1,Options!$A$2:$A$5,0))</f>
        <v/>
      </c>
      <c r="F9">
        <f>INDEX(Options!$M$2:$M$5,MATCH(F$1,Options!$A$2:$A$5,0))</f>
        <v/>
      </c>
    </row>
    <row r="10">
      <c r="A10" t="inlineStr">
        <is>
          <t>12-month cost SGD</t>
        </is>
      </c>
      <c r="B10" t="inlineStr"/>
      <c r="C10">
        <f>INDEX(Options!$O$2:$O$5,MATCH(C$1,Options!$A$2:$A$5,0))</f>
        <v/>
      </c>
      <c r="D10">
        <f>INDEX(Options!$O$2:$O$5,MATCH(D$1,Options!$A$2:$A$5,0))</f>
        <v/>
      </c>
      <c r="E10">
        <f>INDEX(Options!$O$2:$O$5,MATCH(E$1,Options!$A$2:$A$5,0))</f>
        <v/>
      </c>
      <c r="F10">
        <f>INDEX(Options!$O$2:$O$5,MATCH(F$1,Options!$A$2:$A$5,0))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78" customWidth="1" min="2" max="2"/>
  </cols>
  <sheetData>
    <row r="1">
      <c r="A1" s="1" t="inlineStr">
        <is>
          <t>Field</t>
        </is>
      </c>
      <c r="B1" s="1" t="inlineStr">
        <is>
          <t>Decision record</t>
        </is>
      </c>
    </row>
    <row r="2">
      <c r="A2" t="inlineStr">
        <is>
          <t>Preferred workflow</t>
        </is>
      </c>
      <c r="B2" s="5" t="inlineStr">
        <is>
          <t>Select an eligible option</t>
        </is>
      </c>
    </row>
    <row r="3">
      <c r="A3" t="inlineStr">
        <is>
          <t>12-month budget SGD</t>
        </is>
      </c>
      <c r="B3">
        <f>IFERROR(INDEX(Scorecard!$C$10:$F$10,1,MATCH(B2,Scorecard!$C$1:$F$1,0)),0)</f>
        <v/>
      </c>
    </row>
    <row r="4">
      <c r="A4" t="inlineStr">
        <is>
          <t>Eligibility</t>
        </is>
      </c>
      <c r="B4">
        <f>IFERROR(INDEX(Scorecard!$C$9:$F$9,1,MATCH(B2,Scorecard!$C$1:$F$1,0)),"Check selection")</f>
        <v/>
      </c>
    </row>
    <row r="5">
      <c r="A5" t="inlineStr">
        <is>
          <t>Training plan</t>
        </is>
      </c>
      <c r="B5" s="5" t="inlineStr">
        <is>
          <t>Enter plan</t>
        </is>
      </c>
    </row>
    <row r="6">
      <c r="A6" t="inlineStr">
        <is>
          <t>Governance controls</t>
        </is>
      </c>
      <c r="B6" s="5" t="inlineStr">
        <is>
          <t>Enter controls</t>
        </is>
      </c>
    </row>
    <row r="7">
      <c r="A7" t="inlineStr">
        <is>
          <t>Success metrics</t>
        </is>
      </c>
      <c r="B7" s="5" t="inlineStr">
        <is>
          <t>Enter metrics</t>
        </is>
      </c>
    </row>
    <row r="8">
      <c r="A8" t="inlineStr">
        <is>
          <t>Owner</t>
        </is>
      </c>
      <c r="B8" s="5" t="inlineStr">
        <is>
          <t>Enter owner</t>
        </is>
      </c>
    </row>
    <row r="9">
      <c r="A9" t="inlineStr">
        <is>
          <t>Review date</t>
        </is>
      </c>
      <c r="B9" s="5" t="inlineStr">
        <is>
          <t>Enter date</t>
        </is>
      </c>
    </row>
    <row r="10">
      <c r="A10" t="inlineStr">
        <is>
          <t>Reversal trigger</t>
        </is>
      </c>
      <c r="B10" s="5" t="inlineStr">
        <is>
          <t>Enter evidence that would reverse the decision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70" customWidth="1" min="2" max="2"/>
  </cols>
  <sheetData>
    <row r="1">
      <c r="A1" s="1" t="inlineStr">
        <is>
          <t>Field</t>
        </is>
      </c>
      <c r="B1" s="1" t="inlineStr">
        <is>
          <t>Value</t>
        </is>
      </c>
    </row>
    <row r="2">
      <c r="A2" t="inlineStr">
        <is>
          <t>Course</t>
        </is>
      </c>
      <c r="B2" t="inlineStr">
        <is>
          <t>Create Powerpoint Infographics with AI</t>
        </is>
      </c>
    </row>
    <row r="3">
      <c r="A3" t="inlineStr">
        <is>
          <t>Activity</t>
        </is>
      </c>
      <c r="B3" t="inlineStr">
        <is>
          <t>08 - Create a Resource Scorecard Infographic</t>
        </is>
      </c>
    </row>
    <row r="4">
      <c r="A4" t="inlineStr">
        <is>
          <t>Data status</t>
        </is>
      </c>
      <c r="B4" t="inlineStr">
        <is>
          <t>Synthetic training data; not operational evidence</t>
        </is>
      </c>
    </row>
    <row r="5">
      <c r="A5" t="inlineStr">
        <is>
          <t>Generated</t>
        </is>
      </c>
      <c r="B5" t="inlineStr">
        <is>
          <t>5 September 2026</t>
        </is>
      </c>
    </row>
    <row r="6">
      <c r="A6" t="inlineStr">
        <is>
          <t>Owner</t>
        </is>
      </c>
      <c r="B6" t="inlineStr">
        <is>
          <t>Learner working copy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8" customWidth="1" min="1" max="1"/>
    <col width="90" customWidth="1" min="2" max="2"/>
    <col width="28" customWidth="1" min="3" max="3"/>
    <col width="32" customWidth="1" min="4" max="4"/>
    <col width="32" customWidth="1" min="5" max="5"/>
    <col width="22" customWidth="1" min="6" max="6"/>
  </cols>
  <sheetData>
    <row r="1">
      <c r="A1" s="6" t="inlineStr">
        <is>
          <t>Prompt stage</t>
        </is>
      </c>
      <c r="B1" s="6" t="inlineStr">
        <is>
          <t>Copy-ready prompt</t>
        </is>
      </c>
      <c r="C1" s="6" t="inlineStr">
        <is>
          <t>Approved inputs</t>
        </is>
      </c>
      <c r="D1" s="6" t="inlineStr">
        <is>
          <t>Output verification</t>
        </is>
      </c>
      <c r="E1" s="6" t="inlineStr">
        <is>
          <t>Human changes</t>
        </is>
      </c>
      <c r="F1" s="6" t="inlineStr">
        <is>
          <t>Reviewer / owner</t>
        </is>
      </c>
    </row>
    <row r="2">
      <c r="A2" s="7" t="inlineStr">
        <is>
          <t>Structured infographic prompt</t>
        </is>
      </c>
      <c r="B2" s="7" t="inlineStr">
        <is>
          <t>Create a one-page resource scorecard infographic about Create a Resource Scorecard Infographic.
Sections:
1. 35%
2. 20%
3. 15%
4. 15%
5. 15%
Audience: budget and governance committee
Decision: The recommendation names the preferred workflow, budget, ownership, governance controls, success metrics and review date.
Style: professional, concise, high contrast and accessible
Format: Wide for PowerPoint unless the brief requires Portrait
Source rule: use only the attached approved or synthetic course data; include period and source; do not invent facts</t>
        </is>
      </c>
      <c r="C2" s="7" t="inlineStr">
        <is>
          <t>Use only supplied approved or synthetic course inputs</t>
        </is>
      </c>
      <c r="D2" s="7" t="inlineStr">
        <is>
          <t>Verify type, sections, claims, source, reading order and accessibility</t>
        </is>
      </c>
      <c r="E2" s="7" t="inlineStr">
        <is>
          <t>Record PowerPoint rebuild and corrections</t>
        </is>
      </c>
      <c r="F2" s="7" t="inlineStr">
        <is>
          <t>Enter name</t>
        </is>
      </c>
    </row>
    <row r="3">
      <c r="A3" s="7" t="inlineStr">
        <is>
          <t>Analyse the evidence</t>
        </is>
      </c>
      <c r="B3" s="7" t="inlineStr">
        <is>
          <t>Using only the attached approved source, identify the three strongest patterns, the denominator for each metric, one limitation and one proportionate business action. Cite the source field or row for every number. Do not invent missing values or imply causation.</t>
        </is>
      </c>
      <c r="C3" s="7" t="inlineStr">
        <is>
          <t>Enter approved sources</t>
        </is>
      </c>
      <c r="D3" s="7" t="inlineStr">
        <is>
          <t>Enter checks performed</t>
        </is>
      </c>
      <c r="E3" s="7" t="inlineStr">
        <is>
          <t>Enter edits made</t>
        </is>
      </c>
      <c r="F3" s="7" t="inlineStr">
        <is>
          <t>Enter name</t>
        </is>
      </c>
    </row>
    <row r="4">
      <c r="A4" s="7" t="inlineStr">
        <is>
          <t>Create the infographic</t>
        </is>
      </c>
      <c r="B4" s="7" t="inlineStr">
        <is>
          <t>Create a one-page [TYPE] infographic about [TOPIC]. Sections: 1. [SECTION ONE] 2. [SECTION TWO] 3. [SECTION THREE] 4. [SECTION FOUR] 5. [SECTION FIVE]. Audience: [AUDIENCE]. Decision: [DECISION]. Style: professional, high contrast, concise, accessible and aligned to [BRAND]. Use only the approved attached content. Include source and period. Do not invent data.</t>
        </is>
      </c>
      <c r="C4" s="7" t="inlineStr">
        <is>
          <t>Enter approved sources</t>
        </is>
      </c>
      <c r="D4" s="7" t="inlineStr">
        <is>
          <t>Enter checks performed</t>
        </is>
      </c>
      <c r="E4" s="7" t="inlineStr">
        <is>
          <t>Enter edits made</t>
        </is>
      </c>
      <c r="F4" s="7" t="inlineStr">
        <is>
          <t>Enter name</t>
        </is>
      </c>
    </row>
    <row r="5">
      <c r="A5" s="7" t="inlineStr">
        <is>
          <t>Refine in PowerPoint</t>
        </is>
      </c>
      <c r="B5" s="7" t="inlineStr">
        <is>
          <t>Turn the selected infographic direction into one editable PowerPoint slide. Keep the action title, labels, numbers, chart or process, source footer and accessibility notes editable. Remove decoration that does not support the message. Apply the approved brand colours and preserve one clear reading path.</t>
        </is>
      </c>
      <c r="C5" s="7" t="inlineStr">
        <is>
          <t>Enter approved sources</t>
        </is>
      </c>
      <c r="D5" s="7" t="inlineStr">
        <is>
          <t>Enter checks performed</t>
        </is>
      </c>
      <c r="E5" s="7" t="inlineStr">
        <is>
          <t>Enter edits made</t>
        </is>
      </c>
      <c r="F5" s="7" t="inlineStr">
        <is>
          <t>Enter name</t>
        </is>
      </c>
    </row>
    <row r="6">
      <c r="A6" s="7" t="inlineStr">
        <is>
          <t>Quality review</t>
        </is>
      </c>
      <c r="B6" s="7" t="inlineStr">
        <is>
          <t>Review this infographic against message clarity, data accuracy, visual hierarchy, audience fit, accessibility, editability and business goal. List each issue with evidence, its impact, the proposed change and a pass/fail acceptance check. Do not rewrite verified facts.</t>
        </is>
      </c>
      <c r="C6" s="7" t="inlineStr">
        <is>
          <t>Enter approved sources</t>
        </is>
      </c>
      <c r="D6" s="7" t="inlineStr">
        <is>
          <t>Enter checks performed</t>
        </is>
      </c>
      <c r="E6" s="7" t="inlineStr">
        <is>
          <t>Enter edits made</t>
        </is>
      </c>
      <c r="F6" s="7" t="inlineStr">
        <is>
          <t>Enter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2026-09-05T05:04:49Z</dcterms:created>
  <dcterms:modified xmlns:dcterms="http://purl.org/dc/terms/" xmlns:xsi="http://www.w3.org/2001/XMLSchema-instance" xsi:type="dcterms:W3CDTF">2026-09-05T05:04:49Z</dcterms:modified>
</cp:coreProperties>
</file>