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Options" sheetId="2" state="visible" r:id="rId2"/>
    <sheet xmlns:r="http://schemas.openxmlformats.org/officeDocument/2006/relationships" name="Scorecard" sheetId="3" state="visible" r:id="rId3"/>
    <sheet xmlns:r="http://schemas.openxmlformats.org/officeDocument/2006/relationships" name="Recommendation" sheetId="4" state="visible" r:id="rId4"/>
    <sheet xmlns:r="http://schemas.openxmlformats.org/officeDocument/2006/relationships" name="Source Notes" sheetId="5" state="visible" r:id="rId5"/>
    <sheet xmlns:r="http://schemas.openxmlformats.org/officeDocument/2006/relationships" name="AI Prompt Lab" sheetId="6" state="visible" r:id="rId6"/>
  </sheets>
  <definedNames>
    <definedName name="_xlnm._FilterDatabase" localSheetId="1" hidden="1">'Options'!$A$1:$G$5</definedName>
  </definedNames>
  <calcPr calcId="124519" calcMode="auto" fullCalcOnLoad="1" forceFullCalc="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color rgb="00000000"/>
    </font>
    <font>
      <name val="Arial"/>
      <color rgb="000000FF"/>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8">
    <xf numFmtId="0" fontId="0" fillId="0" borderId="0" pivotButton="0" quotePrefix="0" xfId="0"/>
    <xf numFmtId="0" fontId="1" fillId="2" borderId="0" pivotButton="0" quotePrefix="0" xfId="0"/>
    <xf numFmtId="0" fontId="1" fillId="2" borderId="0" applyAlignment="1" pivotButton="0" quotePrefix="0" xfId="0">
      <alignment horizontal="center" wrapText="1"/>
    </xf>
    <xf numFmtId="0" fontId="2" fillId="0" borderId="1" pivotButton="0" quotePrefix="0" xfId="0"/>
    <xf numFmtId="0" fontId="3" fillId="0" borderId="1" pivotButton="0" quotePrefix="0" xfId="0"/>
    <xf numFmtId="0" fontId="0" fillId="3" borderId="0" pivotButton="0" quotePrefix="0" xfId="0"/>
    <xf numFmtId="0" fontId="1" fillId="4" borderId="0" applyAlignment="1" pivotButton="0" quotePrefix="0" xfId="0">
      <alignment horizontal="center" vertical="center"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0" customWidth="1" min="1" max="1"/>
    <col width="16" customWidth="1" min="2" max="2"/>
    <col width="16" customWidth="1" min="3" max="3"/>
    <col width="45" customWidth="1" min="4" max="4"/>
  </cols>
  <sheetData>
    <row r="1">
      <c r="A1" s="1" t="inlineStr">
        <is>
          <t>Assumption</t>
        </is>
      </c>
      <c r="B1" s="1" t="inlineStr">
        <is>
          <t>Value</t>
        </is>
      </c>
      <c r="C1" s="1" t="inlineStr">
        <is>
          <t>Unit</t>
        </is>
      </c>
      <c r="D1" s="1" t="inlineStr">
        <is>
          <t>Rationale / source</t>
        </is>
      </c>
    </row>
    <row r="2">
      <c r="A2" t="inlineStr">
        <is>
          <t>Users</t>
        </is>
      </c>
      <c r="B2" t="n">
        <v>12</v>
      </c>
      <c r="C2" t="inlineStr">
        <is>
          <t>people</t>
        </is>
      </c>
      <c r="D2" t="inlineStr">
        <is>
          <t>Northstar training scenario</t>
        </is>
      </c>
    </row>
    <row r="3">
      <c r="A3" t="inlineStr">
        <is>
          <t>Loaded labour rate</t>
        </is>
      </c>
      <c r="B3" t="n">
        <v>65</v>
      </c>
      <c r="C3" t="inlineStr">
        <is>
          <t>SGD/hour</t>
        </is>
      </c>
      <c r="D3" t="inlineStr">
        <is>
          <t>Synthetic planning assumption</t>
        </is>
      </c>
    </row>
    <row r="4">
      <c r="A4" t="inlineStr">
        <is>
          <t>Annual infographic volume</t>
        </is>
      </c>
      <c r="B4" t="n">
        <v>96</v>
      </c>
      <c r="C4" t="inlineStr">
        <is>
          <t>outputs</t>
        </is>
      </c>
      <c r="D4" t="inlineStr">
        <is>
          <t>Eight outputs per month</t>
        </is>
      </c>
    </row>
    <row r="5">
      <c r="A5" t="inlineStr">
        <is>
          <t>Contingency</t>
        </is>
      </c>
      <c r="B5" t="n">
        <v>0.1</v>
      </c>
      <c r="C5" t="inlineStr">
        <is>
          <t>share</t>
        </is>
      </c>
      <c r="D5" t="inlineStr">
        <is>
          <t>Applied to base 12-month cost</t>
        </is>
      </c>
    </row>
    <row r="6">
      <c r="A6" t="inlineStr">
        <is>
          <t>Minimum governance score</t>
        </is>
      </c>
      <c r="B6" t="n">
        <v>4</v>
      </c>
      <c r="C6" t="inlineStr">
        <is>
          <t>1-5</t>
        </is>
      </c>
      <c r="D6" t="inlineStr">
        <is>
          <t>Hard gate</t>
        </is>
      </c>
    </row>
    <row r="7">
      <c r="A7" t="inlineStr">
        <is>
          <t>Minimum effectiveness score</t>
        </is>
      </c>
      <c r="B7" t="n">
        <v>4</v>
      </c>
      <c r="C7" t="inlineStr">
        <is>
          <t>1-5</t>
        </is>
      </c>
      <c r="D7" t="inlineStr">
        <is>
          <t>Hard gate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
  <sheetViews>
    <sheetView workbookViewId="0">
      <pane ySplit="1" topLeftCell="A2" activePane="bottomLeft" state="frozen"/>
      <selection pane="bottomLeft" activeCell="A1" sqref="A1"/>
    </sheetView>
  </sheetViews>
  <sheetFormatPr baseColWidth="8" defaultRowHeight="15"/>
  <cols>
    <col width="14" customWidth="1" min="1" max="1"/>
    <col width="21" customWidth="1" min="2" max="2"/>
    <col width="16" customWidth="1" min="3" max="3"/>
    <col width="20" customWidth="1" min="4" max="4"/>
    <col width="16" customWidth="1" min="5" max="5"/>
    <col width="20" customWidth="1" min="6" max="6"/>
    <col width="23"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s>
  <sheetData>
    <row r="1">
      <c r="A1" s="2" t="inlineStr">
        <is>
          <t>Option</t>
        </is>
      </c>
      <c r="B1" s="2" t="inlineStr">
        <is>
          <t>AnnualLicenceSGD</t>
        </is>
      </c>
      <c r="C1" s="2" t="inlineStr">
        <is>
          <t>TrainingSGD</t>
        </is>
      </c>
      <c r="D1" s="2" t="inlineStr">
        <is>
          <t>ProductionHours</t>
        </is>
      </c>
      <c r="E1" s="2" t="inlineStr">
        <is>
          <t>ReviewHours</t>
        </is>
      </c>
      <c r="F1" s="2" t="inlineStr">
        <is>
          <t>GovernanceScore</t>
        </is>
      </c>
      <c r="G1" s="2" t="inlineStr">
        <is>
          <t>EffectivenessScore</t>
        </is>
      </c>
      <c r="H1" s="2" t="inlineStr">
        <is>
          <t>MaintenanceSGD</t>
        </is>
      </c>
      <c r="I1" s="2" t="inlineStr">
        <is>
          <t>DataHandlingGate</t>
        </is>
      </c>
      <c r="J1" s="2" t="inlineStr">
        <is>
          <t>RightsGate</t>
        </is>
      </c>
      <c r="K1" s="2" t="inlineStr">
        <is>
          <t>EditabilityGate</t>
        </is>
      </c>
      <c r="L1" s="2" t="inlineStr">
        <is>
          <t>AccessibilityGate</t>
        </is>
      </c>
      <c r="M1" s="2" t="inlineStr">
        <is>
          <t>Eligibility</t>
        </is>
      </c>
      <c r="N1" s="2" t="inlineStr">
        <is>
          <t>Base12MonthCostSGD</t>
        </is>
      </c>
      <c r="O1" s="2" t="inlineStr">
        <is>
          <t>CostWithContingencySGD</t>
        </is>
      </c>
    </row>
    <row r="2">
      <c r="A2" s="3" t="inlineStr">
        <is>
          <t>PowerPoint templates</t>
        </is>
      </c>
      <c r="B2" s="4" t="n">
        <v>0</v>
      </c>
      <c r="C2" s="4" t="n">
        <v>4800</v>
      </c>
      <c r="D2" s="4" t="n">
        <v>420</v>
      </c>
      <c r="E2" s="4" t="n">
        <v>120</v>
      </c>
      <c r="F2" s="4" t="n">
        <v>5</v>
      </c>
      <c r="G2" s="4" t="n">
        <v>3</v>
      </c>
      <c r="H2" t="n">
        <v>1200</v>
      </c>
      <c r="I2" t="inlineStr">
        <is>
          <t>PASS</t>
        </is>
      </c>
      <c r="J2" t="inlineStr">
        <is>
          <t>PASS</t>
        </is>
      </c>
      <c r="K2" t="inlineStr">
        <is>
          <t>PASS</t>
        </is>
      </c>
      <c r="L2" t="inlineStr">
        <is>
          <t>PASS</t>
        </is>
      </c>
      <c r="M2">
        <f>IF(AND(F2&gt;=Assumptions!$B$6,G2&gt;=Assumptions!$B$7,I2="PASS",J2="PASS",K2="PASS",L2="PASS"),"Eligible","Not eligible")</f>
        <v/>
      </c>
      <c r="N2">
        <f>B2+C2+H2+(D2+E2)*Assumptions!$B$3</f>
        <v/>
      </c>
      <c r="O2">
        <f>N2*(1+Assumptions!$B$5)</f>
        <v/>
      </c>
    </row>
    <row r="3">
      <c r="A3" s="3" t="inlineStr">
        <is>
          <t>PowerPoint + Copilot</t>
        </is>
      </c>
      <c r="B3" s="4" t="n">
        <v>7200</v>
      </c>
      <c r="C3" s="4" t="n">
        <v>7200</v>
      </c>
      <c r="D3" s="4" t="n">
        <v>300</v>
      </c>
      <c r="E3" s="4" t="n">
        <v>150</v>
      </c>
      <c r="F3" s="4" t="n">
        <v>4</v>
      </c>
      <c r="G3" s="4" t="n">
        <v>5</v>
      </c>
      <c r="H3" t="n">
        <v>2400</v>
      </c>
      <c r="I3" t="inlineStr">
        <is>
          <t>PASS</t>
        </is>
      </c>
      <c r="J3" t="inlineStr">
        <is>
          <t>PASS</t>
        </is>
      </c>
      <c r="K3" t="inlineStr">
        <is>
          <t>PASS</t>
        </is>
      </c>
      <c r="L3" t="inlineStr">
        <is>
          <t>PASS</t>
        </is>
      </c>
      <c r="M3">
        <f>IF(AND(F3&gt;=Assumptions!$B$6,G3&gt;=Assumptions!$B$7,I3="PASS",J3="PASS",K3="PASS",L3="PASS"),"Eligible","Not eligible")</f>
        <v/>
      </c>
      <c r="N3">
        <f>B3+C3+H3+(D3+E3)*Assumptions!$B$3</f>
        <v/>
      </c>
      <c r="O3">
        <f>N3*(1+Assumptions!$B$5)</f>
        <v/>
      </c>
    </row>
    <row r="4">
      <c r="A4" s="3" t="inlineStr">
        <is>
          <t>Copilot-first governed workflow</t>
        </is>
      </c>
      <c r="B4" s="4" t="n">
        <v>8400</v>
      </c>
      <c r="C4" s="4" t="n">
        <v>7200</v>
      </c>
      <c r="D4" s="4" t="n">
        <v>285</v>
      </c>
      <c r="E4" s="4" t="n">
        <v>165</v>
      </c>
      <c r="F4" s="4" t="n">
        <v>5</v>
      </c>
      <c r="G4" s="4" t="n">
        <v>5</v>
      </c>
      <c r="H4" t="n">
        <v>1800</v>
      </c>
      <c r="I4" t="inlineStr">
        <is>
          <t>PASS</t>
        </is>
      </c>
      <c r="J4" t="inlineStr">
        <is>
          <t>PASS</t>
        </is>
      </c>
      <c r="K4" t="inlineStr">
        <is>
          <t>PASS</t>
        </is>
      </c>
      <c r="L4" t="inlineStr">
        <is>
          <t>PASS</t>
        </is>
      </c>
      <c r="M4">
        <f>IF(AND(F4&gt;=Assumptions!$B$6,G4&gt;=Assumptions!$B$7,I4="PASS",J4="PASS",K4="PASS",L4="PASS"),"Eligible","Not eligible")</f>
        <v/>
      </c>
      <c r="N4">
        <f>B4+C4+H4+(D4+E4)*Assumptions!$B$3</f>
        <v/>
      </c>
      <c r="O4">
        <f>N4*(1+Assumptions!$B$5)</f>
        <v/>
      </c>
    </row>
    <row r="5">
      <c r="A5" s="3" t="inlineStr">
        <is>
          <t>Mixed approved tools + PowerPoint</t>
        </is>
      </c>
      <c r="B5" s="4" t="n">
        <v>10800</v>
      </c>
      <c r="C5" s="4" t="n">
        <v>9600</v>
      </c>
      <c r="D5" s="4" t="n">
        <v>270</v>
      </c>
      <c r="E5" s="4" t="n">
        <v>210</v>
      </c>
      <c r="F5" s="4" t="n">
        <v>3</v>
      </c>
      <c r="G5" s="4" t="n">
        <v>4</v>
      </c>
      <c r="H5" t="n">
        <v>3000</v>
      </c>
      <c r="I5" t="inlineStr">
        <is>
          <t>PASS</t>
        </is>
      </c>
      <c r="J5" t="inlineStr">
        <is>
          <t>PASS</t>
        </is>
      </c>
      <c r="K5" t="inlineStr">
        <is>
          <t>PASS</t>
        </is>
      </c>
      <c r="L5" t="inlineStr">
        <is>
          <t>PASS</t>
        </is>
      </c>
      <c r="M5">
        <f>IF(AND(F5&gt;=Assumptions!$B$6,G5&gt;=Assumptions!$B$7,I5="PASS",J5="PASS",K5="PASS",L5="PASS"),"Eligible","Not eligible")</f>
        <v/>
      </c>
      <c r="N5">
        <f>B5+C5+H5+(D5+E5)*Assumptions!$B$3</f>
        <v/>
      </c>
      <c r="O5">
        <f>N5*(1+Assumptions!$B$5)</f>
        <v/>
      </c>
    </row>
  </sheetData>
  <autoFilter ref="A1:G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8" customWidth="1" min="1" max="1"/>
    <col width="14" customWidth="1" min="2" max="2"/>
    <col width="24" customWidth="1" min="3" max="3"/>
    <col width="24" customWidth="1" min="4" max="4"/>
    <col width="24" customWidth="1" min="5" max="5"/>
    <col width="24" customWidth="1" min="6" max="6"/>
  </cols>
  <sheetData>
    <row r="1">
      <c r="A1" s="2" t="inlineStr">
        <is>
          <t>Criterion</t>
        </is>
      </c>
      <c r="B1" s="2" t="inlineStr">
        <is>
          <t>WeightPct</t>
        </is>
      </c>
      <c r="C1" s="2" t="inlineStr">
        <is>
          <t>PowerPoint templates</t>
        </is>
      </c>
      <c r="D1" s="2" t="inlineStr">
        <is>
          <t>PowerPoint + Copilot</t>
        </is>
      </c>
      <c r="E1" s="2" t="inlineStr">
        <is>
          <t>Copilot-first governed workflow</t>
        </is>
      </c>
      <c r="F1" s="2" t="inlineStr">
        <is>
          <t>Mixed approved tools + PowerPoint</t>
        </is>
      </c>
    </row>
    <row r="2">
      <c r="A2" t="inlineStr">
        <is>
          <t>Effectiveness</t>
        </is>
      </c>
      <c r="B2" t="n">
        <v>25</v>
      </c>
      <c r="C2" t="n">
        <v>3</v>
      </c>
      <c r="D2" t="n">
        <v>5</v>
      </c>
      <c r="E2" t="n">
        <v>4</v>
      </c>
      <c r="F2" t="n">
        <v>4</v>
      </c>
    </row>
    <row r="3">
      <c r="A3" t="inlineStr">
        <is>
          <t>Governance</t>
        </is>
      </c>
      <c r="B3" t="n">
        <v>25</v>
      </c>
      <c r="C3" t="n">
        <v>5</v>
      </c>
      <c r="D3" t="n">
        <v>4</v>
      </c>
      <c r="E3" t="n">
        <v>4</v>
      </c>
      <c r="F3" t="n">
        <v>3</v>
      </c>
    </row>
    <row r="4">
      <c r="A4" t="inlineStr">
        <is>
          <t>Source grounding</t>
        </is>
      </c>
      <c r="B4" t="n">
        <v>15</v>
      </c>
      <c r="C4" t="n">
        <v>3</v>
      </c>
      <c r="D4" t="n">
        <v>4</v>
      </c>
      <c r="E4" t="n">
        <v>5</v>
      </c>
      <c r="F4" t="n">
        <v>4</v>
      </c>
    </row>
    <row r="5">
      <c r="A5" t="inlineStr">
        <is>
          <t>Editability</t>
        </is>
      </c>
      <c r="B5" t="n">
        <v>15</v>
      </c>
      <c r="C5" t="n">
        <v>5</v>
      </c>
      <c r="D5" t="n">
        <v>5</v>
      </c>
      <c r="E5" t="n">
        <v>3</v>
      </c>
      <c r="F5" t="n">
        <v>4</v>
      </c>
    </row>
    <row r="6">
      <c r="A6" t="inlineStr">
        <is>
          <t>Accessibility</t>
        </is>
      </c>
      <c r="B6" t="n">
        <v>10</v>
      </c>
      <c r="C6" t="n">
        <v>5</v>
      </c>
      <c r="D6" t="n">
        <v>4</v>
      </c>
      <c r="E6" t="n">
        <v>4</v>
      </c>
      <c r="F6" t="n">
        <v>4</v>
      </c>
    </row>
    <row r="7">
      <c r="A7" t="inlineStr">
        <is>
          <t>Continuity</t>
        </is>
      </c>
      <c r="B7" t="n">
        <v>10</v>
      </c>
      <c r="C7" t="n">
        <v>5</v>
      </c>
      <c r="D7" t="n">
        <v>4</v>
      </c>
      <c r="E7" t="n">
        <v>4</v>
      </c>
      <c r="F7" t="n">
        <v>3</v>
      </c>
    </row>
    <row r="8">
      <c r="A8" t="inlineStr">
        <is>
          <t>Weighted total</t>
        </is>
      </c>
      <c r="B8" t="inlineStr"/>
      <c r="C8">
        <f>IFERROR(SUMPRODUCT($B$2:$B$7,C$2:C$7)/SUM($B$2:$B$7),0)</f>
        <v/>
      </c>
      <c r="D8">
        <f>IFERROR(SUMPRODUCT($B$2:$B$7,D$2:D$7)/SUM($B$2:$B$7),0)</f>
        <v/>
      </c>
      <c r="E8">
        <f>IFERROR(SUMPRODUCT($B$2:$B$7,E$2:E$7)/SUM($B$2:$B$7),0)</f>
        <v/>
      </c>
      <c r="F8">
        <f>IFERROR(SUMPRODUCT($B$2:$B$7,F$2:F$7)/SUM($B$2:$B$7),0)</f>
        <v/>
      </c>
    </row>
    <row r="9">
      <c r="A9" t="inlineStr">
        <is>
          <t>Eligibility</t>
        </is>
      </c>
      <c r="B9" t="inlineStr"/>
      <c r="C9">
        <f>INDEX(Options!$M$2:$M$5,MATCH(C$1,Options!$A$2:$A$5,0))</f>
        <v/>
      </c>
      <c r="D9">
        <f>INDEX(Options!$M$2:$M$5,MATCH(D$1,Options!$A$2:$A$5,0))</f>
        <v/>
      </c>
      <c r="E9">
        <f>INDEX(Options!$M$2:$M$5,MATCH(E$1,Options!$A$2:$A$5,0))</f>
        <v/>
      </c>
      <c r="F9">
        <f>INDEX(Options!$M$2:$M$5,MATCH(F$1,Options!$A$2:$A$5,0))</f>
        <v/>
      </c>
    </row>
    <row r="10">
      <c r="A10" t="inlineStr">
        <is>
          <t>12-month cost SGD</t>
        </is>
      </c>
      <c r="B10" t="inlineStr"/>
      <c r="C10">
        <f>INDEX(Options!$O$2:$O$5,MATCH(C$1,Options!$A$2:$A$5,0))</f>
        <v/>
      </c>
      <c r="D10">
        <f>INDEX(Options!$O$2:$O$5,MATCH(D$1,Options!$A$2:$A$5,0))</f>
        <v/>
      </c>
      <c r="E10">
        <f>INDEX(Options!$O$2:$O$5,MATCH(E$1,Options!$A$2:$A$5,0))</f>
        <v/>
      </c>
      <c r="F10">
        <f>INDEX(Options!$O$2:$O$5,MATCH(F$1,Options!$A$2:$A$5,0))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8" customWidth="1" min="1" max="1"/>
    <col width="78" customWidth="1" min="2" max="2"/>
  </cols>
  <sheetData>
    <row r="1">
      <c r="A1" s="1" t="inlineStr">
        <is>
          <t>Field</t>
        </is>
      </c>
      <c r="B1" s="1" t="inlineStr">
        <is>
          <t>Decision record</t>
        </is>
      </c>
    </row>
    <row r="2">
      <c r="A2" t="inlineStr">
        <is>
          <t>Preferred workflow</t>
        </is>
      </c>
      <c r="B2" s="5" t="inlineStr">
        <is>
          <t>Select an eligible option</t>
        </is>
      </c>
    </row>
    <row r="3">
      <c r="A3" t="inlineStr">
        <is>
          <t>12-month budget SGD</t>
        </is>
      </c>
      <c r="B3">
        <f>IFERROR(INDEX(Scorecard!$C$10:$F$10,1,MATCH(B2,Scorecard!$C$1:$F$1,0)),0)</f>
        <v/>
      </c>
    </row>
    <row r="4">
      <c r="A4" t="inlineStr">
        <is>
          <t>Eligibility</t>
        </is>
      </c>
      <c r="B4">
        <f>IFERROR(INDEX(Scorecard!$C$9:$F$9,1,MATCH(B2,Scorecard!$C$1:$F$1,0)),"Check selection")</f>
        <v/>
      </c>
    </row>
    <row r="5">
      <c r="A5" t="inlineStr">
        <is>
          <t>Training plan</t>
        </is>
      </c>
      <c r="B5" s="5" t="inlineStr">
        <is>
          <t>Enter plan</t>
        </is>
      </c>
    </row>
    <row r="6">
      <c r="A6" t="inlineStr">
        <is>
          <t>Governance controls</t>
        </is>
      </c>
      <c r="B6" s="5" t="inlineStr">
        <is>
          <t>Enter controls</t>
        </is>
      </c>
    </row>
    <row r="7">
      <c r="A7" t="inlineStr">
        <is>
          <t>Success metrics</t>
        </is>
      </c>
      <c r="B7" s="5" t="inlineStr">
        <is>
          <t>Enter metrics</t>
        </is>
      </c>
    </row>
    <row r="8">
      <c r="A8" t="inlineStr">
        <is>
          <t>Owner</t>
        </is>
      </c>
      <c r="B8" s="5" t="inlineStr">
        <is>
          <t>Enter owner</t>
        </is>
      </c>
    </row>
    <row r="9">
      <c r="A9" t="inlineStr">
        <is>
          <t>Review date</t>
        </is>
      </c>
      <c r="B9" s="5" t="inlineStr">
        <is>
          <t>Enter date</t>
        </is>
      </c>
    </row>
    <row r="10">
      <c r="A10" t="inlineStr">
        <is>
          <t>Reversal trigger</t>
        </is>
      </c>
      <c r="B10" s="5" t="inlineStr">
        <is>
          <t>Enter evidence that would reverse the decision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1" t="inlineStr">
        <is>
          <t>Field</t>
        </is>
      </c>
      <c r="B1" s="1" t="inlineStr">
        <is>
          <t>Value</t>
        </is>
      </c>
    </row>
    <row r="2">
      <c r="A2" t="inlineStr">
        <is>
          <t>Course</t>
        </is>
      </c>
      <c r="B2" t="inlineStr">
        <is>
          <t>Create Powerpoint Infographics with AI</t>
        </is>
      </c>
    </row>
    <row r="3">
      <c r="A3" t="inlineStr">
        <is>
          <t>Activity</t>
        </is>
      </c>
      <c r="B3" t="inlineStr">
        <is>
          <t>08 - Create a Resource Scorecard Infographic</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6" t="inlineStr">
        <is>
          <t>Prompt stage</t>
        </is>
      </c>
      <c r="B1" s="6" t="inlineStr">
        <is>
          <t>Copy-ready prompt</t>
        </is>
      </c>
      <c r="C1" s="6" t="inlineStr">
        <is>
          <t>Approved inputs</t>
        </is>
      </c>
      <c r="D1" s="6" t="inlineStr">
        <is>
          <t>Output verification</t>
        </is>
      </c>
      <c r="E1" s="6" t="inlineStr">
        <is>
          <t>Human changes</t>
        </is>
      </c>
      <c r="F1" s="6" t="inlineStr">
        <is>
          <t>Reviewer / owner</t>
        </is>
      </c>
    </row>
    <row r="2">
      <c r="A2" s="7" t="inlineStr">
        <is>
          <t>Structured infographic prompt</t>
        </is>
      </c>
      <c r="B2" s="7" t="inlineStr">
        <is>
          <t>Create a one-page resource scorecard infographic about Create a Resource Scorecard Infographic.
Sections:
1. 35%
2. 20%
3. 15%
4. 15%
5. 15%
Audience: budget and governance committee
Decision: The recommendation names the preferred workflow, budget, ownership, governance controls, success metrics and review date.
Style: professional, concise, high contrast and accessible
Format: Wide for PowerPoint unless the brief requires Portrait
Source rule: use only the attached approved or synthetic course data; include period and source; do not invent facts</t>
        </is>
      </c>
      <c r="C2" s="7" t="inlineStr">
        <is>
          <t>Use only supplied approved or synthetic course inputs</t>
        </is>
      </c>
      <c r="D2" s="7" t="inlineStr">
        <is>
          <t>Verify type, sections, claims, source, reading order and accessibility</t>
        </is>
      </c>
      <c r="E2" s="7" t="inlineStr">
        <is>
          <t>Record PowerPoint rebuild and corrections</t>
        </is>
      </c>
      <c r="F2" s="7" t="inlineStr">
        <is>
          <t>Enter name</t>
        </is>
      </c>
    </row>
    <row r="3">
      <c r="A3" s="7" t="inlineStr">
        <is>
          <t>Analyse the evidence</t>
        </is>
      </c>
      <c r="B3" s="7"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7" t="inlineStr">
        <is>
          <t>Enter approved sources</t>
        </is>
      </c>
      <c r="D3" s="7" t="inlineStr">
        <is>
          <t>Enter checks performed</t>
        </is>
      </c>
      <c r="E3" s="7" t="inlineStr">
        <is>
          <t>Enter edits made</t>
        </is>
      </c>
      <c r="F3" s="7" t="inlineStr">
        <is>
          <t>Enter name</t>
        </is>
      </c>
    </row>
    <row r="4">
      <c r="A4" s="7" t="inlineStr">
        <is>
          <t>Create the infographic</t>
        </is>
      </c>
      <c r="B4" s="7"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7" t="inlineStr">
        <is>
          <t>Enter approved sources</t>
        </is>
      </c>
      <c r="D4" s="7" t="inlineStr">
        <is>
          <t>Enter checks performed</t>
        </is>
      </c>
      <c r="E4" s="7" t="inlineStr">
        <is>
          <t>Enter edits made</t>
        </is>
      </c>
      <c r="F4" s="7" t="inlineStr">
        <is>
          <t>Enter name</t>
        </is>
      </c>
    </row>
    <row r="5">
      <c r="A5" s="7" t="inlineStr">
        <is>
          <t>Refine in PowerPoint</t>
        </is>
      </c>
      <c r="B5" s="7"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7" t="inlineStr">
        <is>
          <t>Enter approved sources</t>
        </is>
      </c>
      <c r="D5" s="7" t="inlineStr">
        <is>
          <t>Enter checks performed</t>
        </is>
      </c>
      <c r="E5" s="7" t="inlineStr">
        <is>
          <t>Enter edits made</t>
        </is>
      </c>
      <c r="F5" s="7" t="inlineStr">
        <is>
          <t>Enter name</t>
        </is>
      </c>
    </row>
    <row r="6">
      <c r="A6" s="7" t="inlineStr">
        <is>
          <t>Quality review</t>
        </is>
      </c>
      <c r="B6" s="7"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7" t="inlineStr">
        <is>
          <t>Enter approved sources</t>
        </is>
      </c>
      <c r="D6" s="7" t="inlineStr">
        <is>
          <t>Enter checks performed</t>
        </is>
      </c>
      <c r="E6" s="7" t="inlineStr">
        <is>
          <t>Enter edits made</t>
        </is>
      </c>
      <c r="F6" s="7"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2026-09-05T05:55:47Z</dcterms:created>
  <dcterms:modified xmlns:dcterms="http://purl.org/dc/terms/" xmlns:xsi="http://www.w3.org/2001/XMLSchema-instance" xsi:type="dcterms:W3CDTF">2026-09-05T05:55:47Z</dcterms:modified>
</cp:coreProperties>
</file>