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Options" sheetId="2" state="visible" r:id="rId4"/>
    <sheet name="Scorecard" sheetId="3" state="visible" r:id="rId5"/>
    <sheet name="Recommendation" sheetId="4" state="visible" r:id="rId6"/>
    <sheet name="Source Notes" sheetId="5" state="visible" r:id="rId7"/>
    <sheet name="AI Prompt Lab" sheetId="6" state="visible" r:id="rId8"/>
  </sheets>
  <definedNames>
    <definedName function="false" hidden="true" localSheetId="1" name="_xlnm._FilterDatabase" vbProcedure="false">Options!$A$1:$G$5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<sst xmlns="http://schemas.openxmlformats.org/spreadsheetml/2006/main" count="132" uniqueCount="94">
  <si>
    <t xml:space="preserve">Assumption</t>
  </si>
  <si>
    <t xml:space="preserve">Value</t>
  </si>
  <si>
    <t xml:space="preserve">Unit</t>
  </si>
  <si>
    <t xml:space="preserve">Rationale / source</t>
  </si>
  <si>
    <t xml:space="preserve">Users</t>
  </si>
  <si>
    <t xml:space="preserve">people</t>
  </si>
  <si>
    <t xml:space="preserve">Northstar training scenario</t>
  </si>
  <si>
    <t xml:space="preserve">Loaded labour rate</t>
  </si>
  <si>
    <t xml:space="preserve">SGD/hour</t>
  </si>
  <si>
    <t xml:space="preserve">Synthetic planning assumption</t>
  </si>
  <si>
    <t xml:space="preserve">Annual infographic volume</t>
  </si>
  <si>
    <t xml:space="preserve">outputs</t>
  </si>
  <si>
    <t xml:space="preserve">Eight outputs per month</t>
  </si>
  <si>
    <t xml:space="preserve">Contingency</t>
  </si>
  <si>
    <t xml:space="preserve">share</t>
  </si>
  <si>
    <t xml:space="preserve">Applied to base 12-month cost</t>
  </si>
  <si>
    <t xml:space="preserve">Minimum governance score</t>
  </si>
  <si>
    <t xml:space="preserve">1-5</t>
  </si>
  <si>
    <t xml:space="preserve">Hard gate</t>
  </si>
  <si>
    <t xml:space="preserve">Minimum effectiveness score</t>
  </si>
  <si>
    <t xml:space="preserve">Option</t>
  </si>
  <si>
    <t xml:space="preserve">AnnualLicenceSGD</t>
  </si>
  <si>
    <t xml:space="preserve">TrainingSGD</t>
  </si>
  <si>
    <t xml:space="preserve">ProductionHours</t>
  </si>
  <si>
    <t xml:space="preserve">ReviewHours</t>
  </si>
  <si>
    <t xml:space="preserve">GovernanceScore</t>
  </si>
  <si>
    <t xml:space="preserve">EffectivenessScore</t>
  </si>
  <si>
    <t xml:space="preserve">MaintenanceSGD</t>
  </si>
  <si>
    <t xml:space="preserve">DataHandlingGate</t>
  </si>
  <si>
    <t xml:space="preserve">RightsGate</t>
  </si>
  <si>
    <t xml:space="preserve">EditabilityGate</t>
  </si>
  <si>
    <t xml:space="preserve">AccessibilityGate</t>
  </si>
  <si>
    <t xml:space="preserve">Eligibility</t>
  </si>
  <si>
    <t xml:space="preserve">Base12MonthCostSGD</t>
  </si>
  <si>
    <t xml:space="preserve">CostWithContingencySGD</t>
  </si>
  <si>
    <t xml:space="preserve">PowerPoint templates</t>
  </si>
  <si>
    <t xml:space="preserve">PASS</t>
  </si>
  <si>
    <t xml:space="preserve">PowerPoint + Copilot</t>
  </si>
  <si>
    <t xml:space="preserve">Gemini Notebook + PowerPoint</t>
  </si>
  <si>
    <t xml:space="preserve">Mixed AI tools + PowerPoint</t>
  </si>
  <si>
    <t xml:space="preserve">Criterion</t>
  </si>
  <si>
    <t xml:space="preserve">WeightPct</t>
  </si>
  <si>
    <t xml:space="preserve">Effectiveness</t>
  </si>
  <si>
    <t xml:space="preserve">Governance</t>
  </si>
  <si>
    <t xml:space="preserve">Source grounding</t>
  </si>
  <si>
    <t xml:space="preserve">Editability</t>
  </si>
  <si>
    <t xml:space="preserve">Accessibility</t>
  </si>
  <si>
    <t xml:space="preserve">Continuity</t>
  </si>
  <si>
    <t xml:space="preserve">Weighted total</t>
  </si>
  <si>
    <t xml:space="preserve">12-month cost SGD</t>
  </si>
  <si>
    <t xml:space="preserve">Field</t>
  </si>
  <si>
    <t xml:space="preserve">Decision record</t>
  </si>
  <si>
    <t xml:space="preserve">Preferred workflow</t>
  </si>
  <si>
    <t xml:space="preserve">Select an eligible option</t>
  </si>
  <si>
    <t xml:space="preserve">12-month budget SGD</t>
  </si>
  <si>
    <t xml:space="preserve">Training plan</t>
  </si>
  <si>
    <t xml:space="preserve">Enter plan</t>
  </si>
  <si>
    <t xml:space="preserve">Governance controls</t>
  </si>
  <si>
    <t xml:space="preserve">Enter controls</t>
  </si>
  <si>
    <t xml:space="preserve">Success metrics</t>
  </si>
  <si>
    <t xml:space="preserve">Enter metrics</t>
  </si>
  <si>
    <t xml:space="preserve">Owner</t>
  </si>
  <si>
    <t xml:space="preserve">Enter owner</t>
  </si>
  <si>
    <t xml:space="preserve">Review date</t>
  </si>
  <si>
    <t xml:space="preserve">Enter date</t>
  </si>
  <si>
    <t xml:space="preserve">Reversal trigger</t>
  </si>
  <si>
    <t xml:space="preserve">Enter evidence that would reverse the decision</t>
  </si>
  <si>
    <t xml:space="preserve">Course</t>
  </si>
  <si>
    <t xml:space="preserve">Infographics and Data Visualization with PowerPoint</t>
  </si>
  <si>
    <t xml:space="preserve">Activity</t>
  </si>
  <si>
    <t xml:space="preserve">08 - Budget and Effectiveness Decision</t>
  </si>
  <si>
    <t xml:space="preserve">Data status</t>
  </si>
  <si>
    <t xml:space="preserve">Synthetic training data; not operational evidence</t>
  </si>
  <si>
    <t xml:space="preserve">Generated</t>
  </si>
  <si>
    <t xml:space="preserve">16 August 2026</t>
  </si>
  <si>
    <t xml:space="preserve">Learner working copy</t>
  </si>
  <si>
    <t xml:space="preserve">Prompt stage</t>
  </si>
  <si>
    <t xml:space="preserve">Copy-ready prompt</t>
  </si>
  <si>
    <t xml:space="preserve">Approved inputs</t>
  </si>
  <si>
    <t xml:space="preserve">Output verification</t>
  </si>
  <si>
    <t xml:space="preserve">Human changes</t>
  </si>
  <si>
    <t xml:space="preserve">Reviewer / owner</t>
  </si>
  <si>
    <t xml:space="preserve">Data analyst</t>
  </si>
  <si>
    <t xml:space="preserve">Using only the attached approved sources, create a source register, identify duplicates or conflicting definitions, clean the table, show formulas or transformations, and return five candidate insights with citations, caveats and a confidence note. Do not invent missing values.</t>
  </si>
  <si>
    <t xml:space="preserve">Enter approved sources</t>
  </si>
  <si>
    <t xml:space="preserve">Enter checks performed</t>
  </si>
  <si>
    <t xml:space="preserve">Enter edits made</t>
  </si>
  <si>
    <t xml:space="preserve">Enter name</t>
  </si>
  <si>
    <t xml:space="preserve">Infographic</t>
  </si>
  <si>
    <t xml:space="preserve">Create a one-page executive infographic for Singapore retail managers. Lead with one decision insight, show three supporting metrics, include a five-stage flow and a source footer. Use a clean professional style, strong hierarchy and no invented data. Leave critical labels editable.</t>
  </si>
  <si>
    <t xml:space="preserve">Text to image</t>
  </si>
  <si>
    <t xml:space="preserve">Create a clean vector-like sustainability delivery illustration for a PowerPoint infographic: one electric van, one reusable parcel, a simple route and a feedback symbol. Transparent background, consistent blue/teal/violet/amber palette, no text, no logo, no watermark.</t>
  </si>
  <si>
    <t xml:space="preserve">Gemini Notebook deck</t>
  </si>
  <si>
    <t xml:space="preserve">Create Presenter Slides for business stakeholders. Focus on the verified decision insight, use a concise professional style, include source-grounded comparisons and a final recommendation. Avoid claims not supported by selected sources. Download PowerPoint when available; otherwise download PDF and identify what must be rebuilt as editable native PowerPoint objects.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</si>
</sst>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7C3AED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7C3AE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12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n">
        <v>65</v>
      </c>
      <c r="C3" s="0" t="s">
        <v>8</v>
      </c>
      <c r="D3" s="0" t="s">
        <v>9</v>
      </c>
    </row>
    <row r="4" customFormat="false" ht="15" hidden="false" customHeight="false" outlineLevel="0" collapsed="false">
      <c r="A4" s="0" t="s">
        <v>10</v>
      </c>
      <c r="B4" s="0" t="n">
        <v>96</v>
      </c>
      <c r="C4" s="0" t="s">
        <v>11</v>
      </c>
      <c r="D4" s="0" t="s">
        <v>12</v>
      </c>
    </row>
    <row r="5" customFormat="false" ht="15" hidden="false" customHeight="false" outlineLevel="0" collapsed="false">
      <c r="A5" s="0" t="s">
        <v>13</v>
      </c>
      <c r="B5" s="0" t="n">
        <v>0.1</v>
      </c>
      <c r="C5" s="0" t="s">
        <v>14</v>
      </c>
      <c r="D5" s="0" t="s">
        <v>15</v>
      </c>
    </row>
    <row r="6" customFormat="false" ht="15" hidden="false" customHeight="false" outlineLevel="0" collapsed="false">
      <c r="A6" s="0" t="s">
        <v>16</v>
      </c>
      <c r="B6" s="0" t="n">
        <v>4</v>
      </c>
      <c r="C6" s="0" t="s">
        <v>17</v>
      </c>
      <c r="D6" s="0" t="s">
        <v>18</v>
      </c>
    </row>
    <row r="7" customFormat="false" ht="15" hidden="false" customHeight="false" outlineLevel="0" collapsed="false">
      <c r="A7" s="0" t="s">
        <v>19</v>
      </c>
      <c r="B7" s="0" t="n">
        <v>4</v>
      </c>
      <c r="C7" s="0" t="s">
        <v>17</v>
      </c>
      <c r="D7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1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23"/>
    <col collapsed="false" customWidth="true" hidden="false" outlineLevel="0" max="15" min="8" style="0" width="22"/>
  </cols>
  <sheetData>
    <row r="1" customFormat="false" ht="26.85" hidden="false" customHeight="fals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</row>
    <row r="2" customFormat="false" ht="15" hidden="false" customHeight="false" outlineLevel="0" collapsed="false">
      <c r="A2" s="3" t="s">
        <v>35</v>
      </c>
      <c r="B2" s="4" t="n">
        <v>0</v>
      </c>
      <c r="C2" s="4" t="n">
        <v>4800</v>
      </c>
      <c r="D2" s="4" t="n">
        <v>420</v>
      </c>
      <c r="E2" s="4" t="n">
        <v>120</v>
      </c>
      <c r="F2" s="4" t="n">
        <v>5</v>
      </c>
      <c r="G2" s="4" t="n">
        <v>3</v>
      </c>
      <c r="H2" s="0" t="n">
        <v>1200</v>
      </c>
      <c r="I2" s="0" t="s">
        <v>36</v>
      </c>
      <c r="J2" s="0" t="s">
        <v>36</v>
      </c>
      <c r="K2" s="0" t="s">
        <v>36</v>
      </c>
      <c r="L2" s="0" t="s">
        <v>36</v>
      </c>
      <c r="M2" s="0" t="str">
        <f aca="false">IF(AND(F2&gt;=Assumptions!$B$6,G2&gt;=Assumptions!$B$7,I2="PASS",J2="PASS",K2="PASS",L2="PASS"),"Eligible","Not eligible")</f>
        <v>Not eligible</v>
      </c>
      <c r="N2" s="0" t="n">
        <f aca="false">B2+C2+H2+(D2+E2)*Assumptions!$B$3</f>
        <v>41100</v>
      </c>
      <c r="O2" s="0" t="n">
        <f aca="false">N2*(1+Assumptions!$B$5)</f>
        <v>45210</v>
      </c>
    </row>
    <row r="3" customFormat="false" ht="15" hidden="false" customHeight="false" outlineLevel="0" collapsed="false">
      <c r="A3" s="3" t="s">
        <v>37</v>
      </c>
      <c r="B3" s="4" t="n">
        <v>7200</v>
      </c>
      <c r="C3" s="4" t="n">
        <v>7200</v>
      </c>
      <c r="D3" s="4" t="n">
        <v>300</v>
      </c>
      <c r="E3" s="4" t="n">
        <v>150</v>
      </c>
      <c r="F3" s="4" t="n">
        <v>4</v>
      </c>
      <c r="G3" s="4" t="n">
        <v>5</v>
      </c>
      <c r="H3" s="0" t="n">
        <v>2400</v>
      </c>
      <c r="I3" s="0" t="s">
        <v>36</v>
      </c>
      <c r="J3" s="0" t="s">
        <v>36</v>
      </c>
      <c r="K3" s="0" t="s">
        <v>36</v>
      </c>
      <c r="L3" s="0" t="s">
        <v>36</v>
      </c>
      <c r="M3" s="0" t="str">
        <f aca="false">IF(AND(F3&gt;=Assumptions!$B$6,G3&gt;=Assumptions!$B$7,I3="PASS",J3="PASS",K3="PASS",L3="PASS"),"Eligible","Not eligible")</f>
        <v>Eligible</v>
      </c>
      <c r="N3" s="0" t="n">
        <f aca="false">B3+C3+H3+(D3+E3)*Assumptions!$B$3</f>
        <v>46050</v>
      </c>
      <c r="O3" s="0" t="n">
        <f aca="false">N3*(1+Assumptions!$B$5)</f>
        <v>50655</v>
      </c>
    </row>
    <row r="4" customFormat="false" ht="15" hidden="false" customHeight="false" outlineLevel="0" collapsed="false">
      <c r="A4" s="3" t="s">
        <v>38</v>
      </c>
      <c r="B4" s="4" t="n">
        <v>3600</v>
      </c>
      <c r="C4" s="4" t="n">
        <v>7200</v>
      </c>
      <c r="D4" s="4" t="n">
        <v>285</v>
      </c>
      <c r="E4" s="4" t="n">
        <v>175</v>
      </c>
      <c r="F4" s="4" t="n">
        <v>4</v>
      </c>
      <c r="G4" s="4" t="n">
        <v>4</v>
      </c>
      <c r="H4" s="0" t="n">
        <v>1800</v>
      </c>
      <c r="I4" s="0" t="s">
        <v>36</v>
      </c>
      <c r="J4" s="0" t="s">
        <v>36</v>
      </c>
      <c r="K4" s="0" t="s">
        <v>36</v>
      </c>
      <c r="L4" s="0" t="s">
        <v>36</v>
      </c>
      <c r="M4" s="0" t="str">
        <f aca="false">IF(AND(F4&gt;=Assumptions!$B$6,G4&gt;=Assumptions!$B$7,I4="PASS",J4="PASS",K4="PASS",L4="PASS"),"Eligible","Not eligible")</f>
        <v>Eligible</v>
      </c>
      <c r="N4" s="0" t="n">
        <f aca="false">B4+C4+H4+(D4+E4)*Assumptions!$B$3</f>
        <v>42500</v>
      </c>
      <c r="O4" s="0" t="n">
        <f aca="false">N4*(1+Assumptions!$B$5)</f>
        <v>46750</v>
      </c>
    </row>
    <row r="5" customFormat="false" ht="15" hidden="false" customHeight="false" outlineLevel="0" collapsed="false">
      <c r="A5" s="3" t="s">
        <v>39</v>
      </c>
      <c r="B5" s="4" t="n">
        <v>10800</v>
      </c>
      <c r="C5" s="4" t="n">
        <v>9600</v>
      </c>
      <c r="D5" s="4" t="n">
        <v>270</v>
      </c>
      <c r="E5" s="4" t="n">
        <v>210</v>
      </c>
      <c r="F5" s="4" t="n">
        <v>3</v>
      </c>
      <c r="G5" s="4" t="n">
        <v>4</v>
      </c>
      <c r="H5" s="0" t="n">
        <v>3000</v>
      </c>
      <c r="I5" s="0" t="s">
        <v>36</v>
      </c>
      <c r="J5" s="0" t="s">
        <v>36</v>
      </c>
      <c r="K5" s="0" t="s">
        <v>36</v>
      </c>
      <c r="L5" s="0" t="s">
        <v>36</v>
      </c>
      <c r="M5" s="0" t="str">
        <f aca="false">IF(AND(F5&gt;=Assumptions!$B$6,G5&gt;=Assumptions!$B$7,I5="PASS",J5="PASS",K5="PASS",L5="PASS"),"Eligible","Not eligible")</f>
        <v>Not eligible</v>
      </c>
      <c r="N5" s="0" t="n">
        <f aca="false">B5+C5+H5+(D5+E5)*Assumptions!$B$3</f>
        <v>54600</v>
      </c>
      <c r="O5" s="0" t="n">
        <f aca="false">N5*(1+Assumptions!$B$5)</f>
        <v>60060</v>
      </c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6" min="3" style="0" width="24"/>
  </cols>
  <sheetData>
    <row r="1" customFormat="false" ht="26.85" hidden="false" customHeight="false" outlineLevel="0" collapsed="false">
      <c r="A1" s="2" t="s">
        <v>40</v>
      </c>
      <c r="B1" s="2" t="s">
        <v>41</v>
      </c>
      <c r="C1" s="2" t="s">
        <v>35</v>
      </c>
      <c r="D1" s="2" t="s">
        <v>37</v>
      </c>
      <c r="E1" s="2" t="s">
        <v>38</v>
      </c>
      <c r="F1" s="2" t="s">
        <v>39</v>
      </c>
    </row>
    <row r="2" customFormat="false" ht="15" hidden="false" customHeight="false" outlineLevel="0" collapsed="false">
      <c r="A2" s="0" t="s">
        <v>42</v>
      </c>
      <c r="B2" s="0" t="n">
        <v>25</v>
      </c>
      <c r="C2" s="0" t="n">
        <v>3</v>
      </c>
      <c r="D2" s="0" t="n">
        <v>5</v>
      </c>
      <c r="E2" s="0" t="n">
        <v>4</v>
      </c>
      <c r="F2" s="0" t="n">
        <v>4</v>
      </c>
    </row>
    <row r="3" customFormat="false" ht="15" hidden="false" customHeight="false" outlineLevel="0" collapsed="false">
      <c r="A3" s="0" t="s">
        <v>43</v>
      </c>
      <c r="B3" s="0" t="n">
        <v>25</v>
      </c>
      <c r="C3" s="0" t="n">
        <v>5</v>
      </c>
      <c r="D3" s="0" t="n">
        <v>4</v>
      </c>
      <c r="E3" s="0" t="n">
        <v>4</v>
      </c>
      <c r="F3" s="0" t="n">
        <v>3</v>
      </c>
    </row>
    <row r="4" customFormat="false" ht="15" hidden="false" customHeight="false" outlineLevel="0" collapsed="false">
      <c r="A4" s="0" t="s">
        <v>44</v>
      </c>
      <c r="B4" s="0" t="n">
        <v>15</v>
      </c>
      <c r="C4" s="0" t="n">
        <v>3</v>
      </c>
      <c r="D4" s="0" t="n">
        <v>4</v>
      </c>
      <c r="E4" s="0" t="n">
        <v>5</v>
      </c>
      <c r="F4" s="0" t="n">
        <v>4</v>
      </c>
    </row>
    <row r="5" customFormat="false" ht="15" hidden="false" customHeight="false" outlineLevel="0" collapsed="false">
      <c r="A5" s="0" t="s">
        <v>45</v>
      </c>
      <c r="B5" s="0" t="n">
        <v>15</v>
      </c>
      <c r="C5" s="0" t="n">
        <v>5</v>
      </c>
      <c r="D5" s="0" t="n">
        <v>5</v>
      </c>
      <c r="E5" s="0" t="n">
        <v>3</v>
      </c>
      <c r="F5" s="0" t="n">
        <v>4</v>
      </c>
    </row>
    <row r="6" customFormat="false" ht="15" hidden="false" customHeight="false" outlineLevel="0" collapsed="false">
      <c r="A6" s="0" t="s">
        <v>46</v>
      </c>
      <c r="B6" s="0" t="n">
        <v>10</v>
      </c>
      <c r="C6" s="0" t="n">
        <v>5</v>
      </c>
      <c r="D6" s="0" t="n">
        <v>4</v>
      </c>
      <c r="E6" s="0" t="n">
        <v>4</v>
      </c>
      <c r="F6" s="0" t="n">
        <v>4</v>
      </c>
    </row>
    <row r="7" customFormat="false" ht="15" hidden="false" customHeight="false" outlineLevel="0" collapsed="false">
      <c r="A7" s="0" t="s">
        <v>47</v>
      </c>
      <c r="B7" s="0" t="n">
        <v>10</v>
      </c>
      <c r="C7" s="0" t="n">
        <v>5</v>
      </c>
      <c r="D7" s="0" t="n">
        <v>4</v>
      </c>
      <c r="E7" s="0" t="n">
        <v>4</v>
      </c>
      <c r="F7" s="0" t="n">
        <v>3</v>
      </c>
    </row>
    <row r="8" customFormat="false" ht="15" hidden="false" customHeight="false" outlineLevel="0" collapsed="false">
      <c r="A8" s="0" t="s">
        <v>48</v>
      </c>
      <c r="C8" s="0" t="n">
        <f aca="false">IFERROR(SUMPRODUCT($B$2:$B$7,C$2:C$7)/SUM($B$2:$B$7),0)</f>
        <v>4.2</v>
      </c>
      <c r="D8" s="0" t="n">
        <f aca="false">IFERROR(SUMPRODUCT($B$2:$B$7,D$2:D$7)/SUM($B$2:$B$7),0)</f>
        <v>4.4</v>
      </c>
      <c r="E8" s="0" t="n">
        <f aca="false">IFERROR(SUMPRODUCT($B$2:$B$7,E$2:E$7)/SUM($B$2:$B$7),0)</f>
        <v>4</v>
      </c>
      <c r="F8" s="0" t="n">
        <f aca="false">IFERROR(SUMPRODUCT($B$2:$B$7,F$2:F$7)/SUM($B$2:$B$7),0)</f>
        <v>3.65</v>
      </c>
    </row>
    <row r="9" customFormat="false" ht="15" hidden="false" customHeight="false" outlineLevel="0" collapsed="false">
      <c r="A9" s="0" t="s">
        <v>32</v>
      </c>
      <c r="C9" s="0" t="str">
        <f aca="false">INDEX(Options!$M$2:$M$5,MATCH(C$1,Options!$A$2:$A$5,0))</f>
        <v>Not eligible</v>
      </c>
      <c r="D9" s="0" t="str">
        <f aca="false">INDEX(Options!$M$2:$M$5,MATCH(D$1,Options!$A$2:$A$5,0))</f>
        <v>Eligible</v>
      </c>
      <c r="E9" s="0" t="str">
        <f aca="false">INDEX(Options!$M$2:$M$5,MATCH(E$1,Options!$A$2:$A$5,0))</f>
        <v>Eligible</v>
      </c>
      <c r="F9" s="0" t="str">
        <f aca="false">INDEX(Options!$M$2:$M$5,MATCH(F$1,Options!$A$2:$A$5,0))</f>
        <v>Not eligible</v>
      </c>
    </row>
    <row r="10" customFormat="false" ht="15" hidden="false" customHeight="false" outlineLevel="0" collapsed="false">
      <c r="A10" s="0" t="s">
        <v>49</v>
      </c>
      <c r="C10" s="0" t="n">
        <f aca="false">INDEX(Options!$O$2:$O$5,MATCH(C$1,Options!$A$2:$A$5,0))</f>
        <v>45210</v>
      </c>
      <c r="D10" s="0" t="n">
        <f aca="false">INDEX(Options!$O$2:$O$5,MATCH(D$1,Options!$A$2:$A$5,0))</f>
        <v>50655</v>
      </c>
      <c r="E10" s="0" t="n">
        <f aca="false">INDEX(Options!$O$2:$O$5,MATCH(E$1,Options!$A$2:$A$5,0))</f>
        <v>46750</v>
      </c>
      <c r="F10" s="0" t="n">
        <f aca="false">INDEX(Options!$O$2:$O$5,MATCH(F$1,Options!$A$2:$A$5,0))</f>
        <v>60060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8"/>
  </cols>
  <sheetData>
    <row r="1" customFormat="false" ht="15" hidden="false" customHeight="false" outlineLevel="0" collapsed="false">
      <c r="A1" s="1" t="s">
        <v>50</v>
      </c>
      <c r="B1" s="1" t="s">
        <v>51</v>
      </c>
    </row>
    <row r="2" customFormat="false" ht="15" hidden="false" customHeight="false" outlineLevel="0" collapsed="false">
      <c r="A2" s="0" t="s">
        <v>52</v>
      </c>
      <c r="B2" s="5" t="s">
        <v>53</v>
      </c>
    </row>
    <row r="3" customFormat="false" ht="15" hidden="false" customHeight="false" outlineLevel="0" collapsed="false">
      <c r="A3" s="0" t="s">
        <v>54</v>
      </c>
      <c r="B3" s="0" t="n">
        <f aca="false">IFERROR(INDEX(Scorecard!$C$10:$F$10,1,MATCH(B2,Scorecard!$C$1:$F$1,0)),0)</f>
        <v>0</v>
      </c>
    </row>
    <row r="4" customFormat="false" ht="15" hidden="false" customHeight="false" outlineLevel="0" collapsed="false">
      <c r="A4" s="0" t="s">
        <v>32</v>
      </c>
      <c r="B4" s="0" t="str">
        <f aca="false">IFERROR(INDEX(Scorecard!$C$9:$F$9,1,MATCH(B2,Scorecard!$C$1:$F$1,0)),"Check selection")</f>
        <v>Check selection</v>
      </c>
    </row>
    <row r="5" customFormat="false" ht="15" hidden="false" customHeight="false" outlineLevel="0" collapsed="false">
      <c r="A5" s="0" t="s">
        <v>55</v>
      </c>
      <c r="B5" s="5" t="s">
        <v>56</v>
      </c>
    </row>
    <row r="6" customFormat="false" ht="15" hidden="false" customHeight="false" outlineLevel="0" collapsed="false">
      <c r="A6" s="0" t="s">
        <v>57</v>
      </c>
      <c r="B6" s="5" t="s">
        <v>58</v>
      </c>
    </row>
    <row r="7" customFormat="false" ht="15" hidden="false" customHeight="false" outlineLevel="0" collapsed="false">
      <c r="A7" s="0" t="s">
        <v>59</v>
      </c>
      <c r="B7" s="5" t="s">
        <v>60</v>
      </c>
    </row>
    <row r="8" customFormat="false" ht="15" hidden="false" customHeight="false" outlineLevel="0" collapsed="false">
      <c r="A8" s="0" t="s">
        <v>61</v>
      </c>
      <c r="B8" s="5" t="s">
        <v>62</v>
      </c>
    </row>
    <row r="9" customFormat="false" ht="15" hidden="false" customHeight="false" outlineLevel="0" collapsed="false">
      <c r="A9" s="0" t="s">
        <v>63</v>
      </c>
      <c r="B9" s="5" t="s">
        <v>64</v>
      </c>
    </row>
    <row r="10" customFormat="false" ht="15" hidden="false" customHeight="false" outlineLevel="0" collapsed="false">
      <c r="A10" s="0" t="s">
        <v>65</v>
      </c>
      <c r="B10" s="5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" t="s">
        <v>50</v>
      </c>
      <c r="B1" s="1" t="s">
        <v>1</v>
      </c>
    </row>
    <row r="2" customFormat="false" ht="15" hidden="false" customHeight="false" outlineLevel="0" collapsed="false">
      <c r="A2" s="0" t="s">
        <v>67</v>
      </c>
      <c r="B2" s="0" t="s">
        <v>68</v>
      </c>
    </row>
    <row r="3" customFormat="false" ht="15" hidden="false" customHeight="false" outlineLevel="0" collapsed="false">
      <c r="A3" s="0" t="s">
        <v>69</v>
      </c>
      <c r="B3" s="0" t="s">
        <v>70</v>
      </c>
    </row>
    <row r="4" customFormat="false" ht="15" hidden="false" customHeight="false" outlineLevel="0" collapsed="false">
      <c r="A4" s="0" t="s">
        <v>71</v>
      </c>
      <c r="B4" s="0" t="s">
        <v>72</v>
      </c>
    </row>
    <row r="5" customFormat="false" ht="15" hidden="false" customHeight="false" outlineLevel="0" collapsed="false">
      <c r="A5" s="0" t="s">
        <v>73</v>
      </c>
      <c r="B5" s="0" t="s">
        <v>74</v>
      </c>
    </row>
    <row r="6" customFormat="false" ht="15" hidden="false" customHeight="false" outlineLevel="0" collapsed="false">
      <c r="A6" s="0" t="s">
        <v>61</v>
      </c>
      <c r="B6" s="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  <col collapsed="false" customWidth="true" hidden="false" outlineLevel="0" max="3" min="3" style="0" width="28"/>
    <col collapsed="false" customWidth="true" hidden="false" outlineLevel="0" max="5" min="4" style="0" width="32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6" t="s">
        <v>76</v>
      </c>
      <c r="B1" s="6" t="s">
        <v>77</v>
      </c>
      <c r="C1" s="6" t="s">
        <v>78</v>
      </c>
      <c r="D1" s="6" t="s">
        <v>79</v>
      </c>
      <c r="E1" s="6" t="s">
        <v>80</v>
      </c>
      <c r="F1" s="6" t="s">
        <v>81</v>
      </c>
    </row>
    <row r="2" customFormat="false" ht="39.55" hidden="false" customHeight="false" outlineLevel="0" collapsed="false">
      <c r="A2" s="7" t="s">
        <v>82</v>
      </c>
      <c r="B2" s="7" t="s">
        <v>83</v>
      </c>
      <c r="C2" s="7" t="s">
        <v>84</v>
      </c>
      <c r="D2" s="7" t="s">
        <v>85</v>
      </c>
      <c r="E2" s="7" t="s">
        <v>86</v>
      </c>
      <c r="F2" s="7" t="s">
        <v>87</v>
      </c>
    </row>
    <row r="3" customFormat="false" ht="39.55" hidden="false" customHeight="false" outlineLevel="0" collapsed="false">
      <c r="A3" s="7" t="s">
        <v>88</v>
      </c>
      <c r="B3" s="7" t="s">
        <v>89</v>
      </c>
      <c r="C3" s="7" t="s">
        <v>84</v>
      </c>
      <c r="D3" s="7" t="s">
        <v>85</v>
      </c>
      <c r="E3" s="7" t="s">
        <v>86</v>
      </c>
      <c r="F3" s="7" t="s">
        <v>87</v>
      </c>
    </row>
    <row r="4" customFormat="false" ht="39.55" hidden="false" customHeight="false" outlineLevel="0" collapsed="false">
      <c r="A4" s="7" t="s">
        <v>90</v>
      </c>
      <c r="B4" s="7" t="s">
        <v>91</v>
      </c>
      <c r="C4" s="7" t="s">
        <v>84</v>
      </c>
      <c r="D4" s="7" t="s">
        <v>85</v>
      </c>
      <c r="E4" s="7" t="s">
        <v>86</v>
      </c>
      <c r="F4" s="7" t="s">
        <v>87</v>
      </c>
    </row>
    <row r="5" customFormat="false" ht="64.9" hidden="false" customHeight="false" outlineLevel="0" collapsed="false">
      <c r="A5" s="7" t="s">
        <v>92</v>
      </c>
      <c r="B5" s="7" t="s">
        <v>93</v>
      </c>
      <c r="C5" s="7" t="s">
        <v>84</v>
      </c>
      <c r="D5" s="7" t="s">
        <v>85</v>
      </c>
      <c r="E5" s="7" t="s">
        <v>86</v>
      </c>
      <c r="F5" s="7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2026-08-16T04:02:47Z</dcterms:created>
  <dc:creator>openpyxl</dc:creator>
  <dc:description/>
  <dc:language>en-SG</dc:language>
  <cp:lastModifiedBy/>
  <dcterms:modified xsi:type="dcterms:W3CDTF">2026-08-16T04:02:47Z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